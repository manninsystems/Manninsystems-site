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s" sheetId="1" state="visible" r:id="rId3"/>
    <sheet name="Pipeline" sheetId="2" state="visible" r:id="rId4"/>
    <sheet name="Where to find mor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<sst xmlns="http://schemas.openxmlformats.org/spreadsheetml/2006/main" count="138" uniqueCount="101">
  <si>
    <t xml:space="preserve">Outreach Prospects</t>
  </si>
  <si>
    <t xml:space="preserve">Starter list from public sources. Verify each firm, find the right contact, then work down by priority.</t>
  </si>
  <si>
    <t xml:space="preserve">Priority</t>
  </si>
  <si>
    <t xml:space="preserve">Firm</t>
  </si>
  <si>
    <t xml:space="preserve">Sector</t>
  </si>
  <si>
    <t xml:space="preserve">Location</t>
  </si>
  <si>
    <t xml:space="preserve">What they do / why they fit</t>
  </si>
  <si>
    <t xml:space="preserve">Source / website</t>
  </si>
  <si>
    <t xml:space="preserve">Contact name</t>
  </si>
  <si>
    <t xml:space="preserve">Role</t>
  </si>
  <si>
    <t xml:space="preserve">Phone</t>
  </si>
  <si>
    <t xml:space="preserve">Email</t>
  </si>
  <si>
    <t xml:space="preserve">Status</t>
  </si>
  <si>
    <t xml:space="preserve">Date contacted</t>
  </si>
  <si>
    <t xml:space="preserve">Follow up by (auto)</t>
  </si>
  <si>
    <t xml:space="preserve">Next action</t>
  </si>
  <si>
    <t xml:space="preserve">Notes</t>
  </si>
  <si>
    <t xml:space="preserve">A</t>
  </si>
  <si>
    <t xml:space="preserve">FM Extrusions</t>
  </si>
  <si>
    <t xml:space="preserve">Extruder</t>
  </si>
  <si>
    <t xml:space="preserve">Worsley, Manchester</t>
  </si>
  <si>
    <t xml:space="preserve">PVC flooring and tile trims; develops non-standard PVC and recycles it. Regrind-heavy, likely small team.</t>
  </si>
  <si>
    <t xml:space="preserve">fmextrusions.co.uk</t>
  </si>
  <si>
    <t xml:space="preserve">To research</t>
  </si>
  <si>
    <t xml:space="preserve">Pro-Fab Welding Services Ltd</t>
  </si>
  <si>
    <t xml:space="preserve">Fabricator</t>
  </si>
  <si>
    <t xml:space="preserve">Richmond Hill, Douglas, IoM</t>
  </si>
  <si>
    <t xml:space="preserve">Welding and metal fabrication, bespoke jobs plus galvanising and paint finishing. Local, job-costing fit.</t>
  </si>
  <si>
    <t xml:space="preserve">facebook.com/ProFabIOM</t>
  </si>
  <si>
    <t xml:space="preserve">DAS Fabrications</t>
  </si>
  <si>
    <t xml:space="preserve">Hills Meadow, Douglas, IoM</t>
  </si>
  <si>
    <t xml:space="preserve">Steelwork and fabrication. Local.</t>
  </si>
  <si>
    <t xml:space="preserve">Daily Post business directory (Isle of Man, steel fabrications)</t>
  </si>
  <si>
    <t xml:space="preserve">A&amp;B Metal Fabrications Ltd</t>
  </si>
  <si>
    <t xml:space="preserve">Douglas, IoM</t>
  </si>
  <si>
    <t xml:space="preserve">Structural steel and cladding. Local.</t>
  </si>
  <si>
    <t xml:space="preserve">facebook.com/AandBMetalFabricationsLtdStructuralSteelCladding</t>
  </si>
  <si>
    <t xml:space="preserve">B</t>
  </si>
  <si>
    <t xml:space="preserve">MKM Extrusions Ltd</t>
  </si>
  <si>
    <t xml:space="preserve">Check location</t>
  </si>
  <si>
    <t xml:space="preserve">PVC angles, flats, channels and custom profiles with in-house tooling.</t>
  </si>
  <si>
    <t xml:space="preserve">mkmplastics.com</t>
  </si>
  <si>
    <t xml:space="preserve">Windmill Extrusions</t>
  </si>
  <si>
    <t xml:space="preserve">Standard and bespoke profiles in PVC, HDPE, PP and polycarbonate.</t>
  </si>
  <si>
    <t xml:space="preserve">windmill-unilux.com</t>
  </si>
  <si>
    <t xml:space="preserve">Customised Packaging Ltd</t>
  </si>
  <si>
    <t xml:space="preserve">Denton, Manchester</t>
  </si>
  <si>
    <t xml:space="preserve">Listed as a plastic extrusion provider. Check what they run.</t>
  </si>
  <si>
    <t xml:space="preserve">GlobalSpec UK extrusion listing</t>
  </si>
  <si>
    <t xml:space="preserve">Tatra Rotalac Ltd</t>
  </si>
  <si>
    <t xml:space="preserve">Manchester</t>
  </si>
  <si>
    <t xml:space="preserve">Extrusion, co-extrusion and PVC profiles, 80+ years. May already have an ERP; check size.</t>
  </si>
  <si>
    <t xml:space="preserve">tatra-rotalac.com</t>
  </si>
  <si>
    <t xml:space="preserve">Manx Engineers Ltd</t>
  </si>
  <si>
    <t xml:space="preserve">Light engineering</t>
  </si>
  <si>
    <t xml:space="preserve">Isle of Man</t>
  </si>
  <si>
    <t xml:space="preserve">Listed under industrial machinery. Confirm what they do and whether still trading.</t>
  </si>
  <si>
    <t xml:space="preserve">AroundDeal IoM machinery listing</t>
  </si>
  <si>
    <t xml:space="preserve">Structural steelwork and cladding firm, Andreas</t>
  </si>
  <si>
    <t xml:space="preserve">Oatlands Road, Andreas, IoM</t>
  </si>
  <si>
    <t xml:space="preserve">Agricultural and industrial steelwork and cladding. Name to confirm on isleofman.com.</t>
  </si>
  <si>
    <t xml:space="preserve">isleofman.com search: steel fabrications</t>
  </si>
  <si>
    <t xml:space="preserve">C</t>
  </si>
  <si>
    <t xml:space="preserve">Britton Merlin Ltd</t>
  </si>
  <si>
    <t xml:space="preserve">Winsford, Cheshire</t>
  </si>
  <si>
    <t xml:space="preserve">Listed as a plastic extrusion provider. Check size; may be part of a larger group.</t>
  </si>
  <si>
    <t xml:space="preserve">Manplas Ltd</t>
  </si>
  <si>
    <t xml:space="preserve">Polyolefin sheet and roll extrusion with reprocessed content. Check size and location.</t>
  </si>
  <si>
    <t xml:space="preserve">manplas.co.uk</t>
  </si>
  <si>
    <t xml:space="preserve">AgriWeld IOM</t>
  </si>
  <si>
    <t xml:space="preserve">Ballasalla, IoM</t>
  </si>
  <si>
    <t xml:space="preserve">Welding repairs and construction, mainly farming. Probably too small, but a local contact.</t>
  </si>
  <si>
    <t xml:space="preserve">facebook.com/AgriWeldIOM</t>
  </si>
  <si>
    <t xml:space="preserve">Pipeline</t>
  </si>
  <si>
    <t xml:space="preserve">Counts update from the Prospects tab.</t>
  </si>
  <si>
    <t xml:space="preserve">Firms</t>
  </si>
  <si>
    <t xml:space="preserve">Ready to contact</t>
  </si>
  <si>
    <t xml:space="preserve">Emailed</t>
  </si>
  <si>
    <t xml:space="preserve">Called</t>
  </si>
  <si>
    <t xml:space="preserve">Replied</t>
  </si>
  <si>
    <t xml:space="preserve">Meeting booked</t>
  </si>
  <si>
    <t xml:space="preserve">Pilot agreed</t>
  </si>
  <si>
    <t xml:space="preserve">Not now</t>
  </si>
  <si>
    <t xml:space="preserve">Not interested</t>
  </si>
  <si>
    <t xml:space="preserve">Follow-ups due now</t>
  </si>
  <si>
    <t xml:space="preserve">Where to find more firms</t>
  </si>
  <si>
    <t xml:space="preserve">Aim for 30–50 in total. Local first, then the North West of England.</t>
  </si>
  <si>
    <t xml:space="preserve">Engineering Sector IoM</t>
  </si>
  <si>
    <t xml:space="preserve">engineeringiom.com/companies: member list of Island engineering and manufacturing firms. Open it in your browser.</t>
  </si>
  <si>
    <t xml:space="preserve">isleofman.com business directory</t>
  </si>
  <si>
    <t xml:space="preserve">Search categories such as engineers, steel fabrications, welding and plastics.</t>
  </si>
  <si>
    <t xml:space="preserve">manx.life directory</t>
  </si>
  <si>
    <t xml:space="preserve">Engineers, metal welding and structural categories, searchable by area.</t>
  </si>
  <si>
    <t xml:space="preserve">IoM Chamber of Commerce</t>
  </si>
  <si>
    <t xml:space="preserve">Member directory and events; manufacturing members are ideal.</t>
  </si>
  <si>
    <t xml:space="preserve">British Plastics Federation</t>
  </si>
  <si>
    <t xml:space="preserve">Member directory: filter for extrusion and profiles; many small NW England firms.</t>
  </si>
  <si>
    <t xml:space="preserve">Your own industry knowledge</t>
  </si>
  <si>
    <t xml:space="preserve">Suppliers of regrind granulators, masterbatch and tooling know which small extruders exist.</t>
  </si>
  <si>
    <t xml:space="preserve">Keep it clean</t>
  </si>
  <si>
    <t xml:space="preserve">Don't use contacts, customer lists or supplier details from your day job, and steer clear of firms that compete with, buy from or supply your employer.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</si>
</sst>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3A3C"/>
      <name val="Arial"/>
      <family val="0"/>
      <charset val="1"/>
    </font>
    <font>
      <i val="true"/>
      <sz val="10"/>
      <color rgb="FF5670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32B2D"/>
      <name val="Arial"/>
      <family val="0"/>
      <charset val="1"/>
    </font>
    <font>
      <b val="true"/>
      <sz val="11"/>
      <color rgb="FF163A3C"/>
      <name val="Arial"/>
      <family val="0"/>
      <charset val="1"/>
    </font>
    <font>
      <b val="true"/>
      <sz val="10"/>
      <color rgb="FF163A3C"/>
      <name val="Arial"/>
      <family val="0"/>
      <charset val="1"/>
    </font>
    <font>
      <sz val="10"/>
      <color rgb="FF132B2D"/>
      <name val="Arial"/>
      <family val="0"/>
      <charset val="1"/>
    </font>
    <font>
      <b val="true"/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A3C"/>
        <bgColor rgb="FF132B2D"/>
      </patternFill>
    </fill>
    <fill>
      <patternFill patternType="solid">
        <fgColor rgb="FF56706E"/>
        <bgColor rgb="FF808080"/>
      </patternFill>
    </fill>
    <fill>
      <patternFill patternType="solid">
        <fgColor rgb="FFE4ECEB"/>
        <bgColor rgb="FFD5ED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DDB"/>
      </left>
      <right style="thin">
        <color rgb="FFD3DDDB"/>
      </right>
      <top style="thin">
        <color rgb="FFD3DDDB"/>
      </top>
      <bottom style="thin">
        <color rgb="FFD3DD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5700"/>
      </font>
      <fill>
        <patternFill>
          <bgColor rgb="FFFCE4C4"/>
        </patternFill>
      </fill>
    </dxf>
    <dxf>
      <font>
        <name val="Arial"/>
        <charset val="1"/>
        <family val="0"/>
        <b val="1"/>
        <color rgb="FF1E6B32"/>
      </font>
      <fill>
        <patternFill>
          <bgColor rgb="FFD5ED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C4"/>
      <rgbColor rgb="FFE4ECEB"/>
      <rgbColor rgb="FF660066"/>
      <rgbColor rgb="FFFF8080"/>
      <rgbColor rgb="FF0066CC"/>
      <rgbColor rgb="FFD3DD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D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706E"/>
      <rgbColor rgb="FF969696"/>
      <rgbColor rgb="FF003366"/>
      <rgbColor rgb="FF339966"/>
      <rgbColor rgb="FF132B2D"/>
      <rgbColor rgb="FF333300"/>
      <rgbColor rgb="FF9C5700"/>
      <rgbColor rgb="FF993366"/>
      <rgbColor rgb="FF333399"/>
      <rgbColor rgb="FF163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A3C"/>
    <pageSetUpPr fitToPage="true"/>
  </sheetPr>
  <dimension ref="A1:O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22"/>
    <col collapsed="false" customWidth="true" hidden="false" outlineLevel="0" max="15" min="15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4" t="s">
        <v>14</v>
      </c>
      <c r="N4" s="3" t="s">
        <v>15</v>
      </c>
      <c r="O4" s="3" t="s">
        <v>16</v>
      </c>
    </row>
    <row r="5" customFormat="false" ht="35.0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6"/>
      <c r="H5" s="6"/>
      <c r="I5" s="6"/>
      <c r="J5" s="6"/>
      <c r="K5" s="5" t="s">
        <v>23</v>
      </c>
      <c r="L5" s="7"/>
      <c r="M5" s="8" t="str">
        <f aca="false">IF($L5="","",$L5+7)</f>
        <v/>
      </c>
      <c r="N5" s="5"/>
      <c r="O5" s="6"/>
    </row>
    <row r="6" customFormat="false" ht="35.05" hidden="false" customHeight="false" outlineLevel="0" collapsed="false">
      <c r="A6" s="5" t="s">
        <v>17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6"/>
      <c r="H6" s="6"/>
      <c r="I6" s="6"/>
      <c r="J6" s="6"/>
      <c r="K6" s="5" t="s">
        <v>23</v>
      </c>
      <c r="L6" s="7"/>
      <c r="M6" s="8" t="str">
        <f aca="false">IF($L6="","",$L6+7)</f>
        <v/>
      </c>
      <c r="N6" s="5"/>
      <c r="O6" s="6"/>
    </row>
    <row r="7" customFormat="false" ht="23.85" hidden="false" customHeight="false" outlineLevel="0" collapsed="false">
      <c r="A7" s="5" t="s">
        <v>17</v>
      </c>
      <c r="B7" s="5" t="s">
        <v>29</v>
      </c>
      <c r="C7" s="5" t="s">
        <v>25</v>
      </c>
      <c r="D7" s="5" t="s">
        <v>30</v>
      </c>
      <c r="E7" s="5" t="s">
        <v>31</v>
      </c>
      <c r="F7" s="5" t="s">
        <v>32</v>
      </c>
      <c r="G7" s="6"/>
      <c r="H7" s="6"/>
      <c r="I7" s="6"/>
      <c r="J7" s="6"/>
      <c r="K7" s="5" t="s">
        <v>23</v>
      </c>
      <c r="L7" s="7"/>
      <c r="M7" s="8" t="str">
        <f aca="false">IF($L7="","",$L7+7)</f>
        <v/>
      </c>
      <c r="N7" s="5"/>
      <c r="O7" s="6"/>
    </row>
    <row r="8" customFormat="false" ht="35.05" hidden="false" customHeight="false" outlineLevel="0" collapsed="false">
      <c r="A8" s="5" t="s">
        <v>17</v>
      </c>
      <c r="B8" s="5" t="s">
        <v>33</v>
      </c>
      <c r="C8" s="5" t="s">
        <v>25</v>
      </c>
      <c r="D8" s="5" t="s">
        <v>34</v>
      </c>
      <c r="E8" s="5" t="s">
        <v>35</v>
      </c>
      <c r="F8" s="5" t="s">
        <v>36</v>
      </c>
      <c r="G8" s="6"/>
      <c r="H8" s="6"/>
      <c r="I8" s="6"/>
      <c r="J8" s="6"/>
      <c r="K8" s="5" t="s">
        <v>23</v>
      </c>
      <c r="L8" s="7"/>
      <c r="M8" s="8" t="str">
        <f aca="false">IF($L8="","",$L8+7)</f>
        <v/>
      </c>
      <c r="N8" s="5"/>
      <c r="O8" s="6"/>
    </row>
    <row r="9" customFormat="false" ht="23.85" hidden="false" customHeight="false" outlineLevel="0" collapsed="false">
      <c r="A9" s="5" t="s">
        <v>37</v>
      </c>
      <c r="B9" s="5" t="s">
        <v>38</v>
      </c>
      <c r="C9" s="5" t="s">
        <v>19</v>
      </c>
      <c r="D9" s="5" t="s">
        <v>39</v>
      </c>
      <c r="E9" s="5" t="s">
        <v>40</v>
      </c>
      <c r="F9" s="5" t="s">
        <v>41</v>
      </c>
      <c r="G9" s="6"/>
      <c r="H9" s="6"/>
      <c r="I9" s="6"/>
      <c r="J9" s="6"/>
      <c r="K9" s="5" t="s">
        <v>23</v>
      </c>
      <c r="L9" s="7"/>
      <c r="M9" s="8" t="str">
        <f aca="false">IF($L9="","",$L9+7)</f>
        <v/>
      </c>
      <c r="N9" s="5"/>
      <c r="O9" s="6"/>
    </row>
    <row r="10" customFormat="false" ht="23.85" hidden="false" customHeight="false" outlineLevel="0" collapsed="false">
      <c r="A10" s="5" t="s">
        <v>37</v>
      </c>
      <c r="B10" s="5" t="s">
        <v>42</v>
      </c>
      <c r="C10" s="5" t="s">
        <v>19</v>
      </c>
      <c r="D10" s="5" t="s">
        <v>39</v>
      </c>
      <c r="E10" s="5" t="s">
        <v>43</v>
      </c>
      <c r="F10" s="5" t="s">
        <v>44</v>
      </c>
      <c r="G10" s="6"/>
      <c r="H10" s="6"/>
      <c r="I10" s="6"/>
      <c r="J10" s="6"/>
      <c r="K10" s="5" t="s">
        <v>23</v>
      </c>
      <c r="L10" s="7"/>
      <c r="M10" s="8" t="str">
        <f aca="false">IF($L10="","",$L10+7)</f>
        <v/>
      </c>
      <c r="N10" s="5"/>
      <c r="O10" s="6"/>
    </row>
    <row r="11" customFormat="false" ht="23.85" hidden="false" customHeight="false" outlineLevel="0" collapsed="false">
      <c r="A11" s="5" t="s">
        <v>37</v>
      </c>
      <c r="B11" s="5" t="s">
        <v>45</v>
      </c>
      <c r="C11" s="5" t="s">
        <v>19</v>
      </c>
      <c r="D11" s="5" t="s">
        <v>46</v>
      </c>
      <c r="E11" s="5" t="s">
        <v>47</v>
      </c>
      <c r="F11" s="5" t="s">
        <v>48</v>
      </c>
      <c r="G11" s="6"/>
      <c r="H11" s="6"/>
      <c r="I11" s="6"/>
      <c r="J11" s="6"/>
      <c r="K11" s="5" t="s">
        <v>23</v>
      </c>
      <c r="L11" s="7"/>
      <c r="M11" s="8" t="str">
        <f aca="false">IF($L11="","",$L11+7)</f>
        <v/>
      </c>
      <c r="N11" s="5"/>
      <c r="O11" s="6"/>
    </row>
    <row r="12" customFormat="false" ht="23.85" hidden="false" customHeight="false" outlineLevel="0" collapsed="false">
      <c r="A12" s="5" t="s">
        <v>37</v>
      </c>
      <c r="B12" s="5" t="s">
        <v>49</v>
      </c>
      <c r="C12" s="5" t="s">
        <v>19</v>
      </c>
      <c r="D12" s="5" t="s">
        <v>50</v>
      </c>
      <c r="E12" s="5" t="s">
        <v>51</v>
      </c>
      <c r="F12" s="5" t="s">
        <v>52</v>
      </c>
      <c r="G12" s="6"/>
      <c r="H12" s="6"/>
      <c r="I12" s="6"/>
      <c r="J12" s="6"/>
      <c r="K12" s="5" t="s">
        <v>23</v>
      </c>
      <c r="L12" s="7"/>
      <c r="M12" s="8" t="str">
        <f aca="false">IF($L12="","",$L12+7)</f>
        <v/>
      </c>
      <c r="N12" s="5"/>
      <c r="O12" s="6"/>
    </row>
    <row r="13" customFormat="false" ht="23.85" hidden="false" customHeight="false" outlineLevel="0" collapsed="false">
      <c r="A13" s="5" t="s">
        <v>37</v>
      </c>
      <c r="B13" s="5" t="s">
        <v>53</v>
      </c>
      <c r="C13" s="5" t="s">
        <v>54</v>
      </c>
      <c r="D13" s="5" t="s">
        <v>55</v>
      </c>
      <c r="E13" s="5" t="s">
        <v>56</v>
      </c>
      <c r="F13" s="5" t="s">
        <v>57</v>
      </c>
      <c r="G13" s="6"/>
      <c r="H13" s="6"/>
      <c r="I13" s="6"/>
      <c r="J13" s="6"/>
      <c r="K13" s="5" t="s">
        <v>23</v>
      </c>
      <c r="L13" s="7"/>
      <c r="M13" s="8" t="str">
        <f aca="false">IF($L13="","",$L13+7)</f>
        <v/>
      </c>
      <c r="N13" s="5"/>
      <c r="O13" s="6"/>
    </row>
    <row r="14" customFormat="false" ht="23.85" hidden="false" customHeight="false" outlineLevel="0" collapsed="false">
      <c r="A14" s="5" t="s">
        <v>37</v>
      </c>
      <c r="B14" s="5" t="s">
        <v>58</v>
      </c>
      <c r="C14" s="5" t="s">
        <v>25</v>
      </c>
      <c r="D14" s="5" t="s">
        <v>59</v>
      </c>
      <c r="E14" s="5" t="s">
        <v>60</v>
      </c>
      <c r="F14" s="5" t="s">
        <v>61</v>
      </c>
      <c r="G14" s="6"/>
      <c r="H14" s="6"/>
      <c r="I14" s="6"/>
      <c r="J14" s="6"/>
      <c r="K14" s="5" t="s">
        <v>23</v>
      </c>
      <c r="L14" s="7"/>
      <c r="M14" s="8" t="str">
        <f aca="false">IF($L14="","",$L14+7)</f>
        <v/>
      </c>
      <c r="N14" s="5"/>
      <c r="O14" s="6"/>
    </row>
    <row r="15" customFormat="false" ht="23.85" hidden="false" customHeight="false" outlineLevel="0" collapsed="false">
      <c r="A15" s="5" t="s">
        <v>62</v>
      </c>
      <c r="B15" s="5" t="s">
        <v>63</v>
      </c>
      <c r="C15" s="5" t="s">
        <v>19</v>
      </c>
      <c r="D15" s="5" t="s">
        <v>64</v>
      </c>
      <c r="E15" s="5" t="s">
        <v>65</v>
      </c>
      <c r="F15" s="5" t="s">
        <v>48</v>
      </c>
      <c r="G15" s="6"/>
      <c r="H15" s="6"/>
      <c r="I15" s="6"/>
      <c r="J15" s="6"/>
      <c r="K15" s="5" t="s">
        <v>23</v>
      </c>
      <c r="L15" s="7"/>
      <c r="M15" s="8" t="str">
        <f aca="false">IF($L15="","",$L15+7)</f>
        <v/>
      </c>
      <c r="N15" s="5"/>
      <c r="O15" s="6"/>
    </row>
    <row r="16" customFormat="false" ht="23.85" hidden="false" customHeight="false" outlineLevel="0" collapsed="false">
      <c r="A16" s="5" t="s">
        <v>62</v>
      </c>
      <c r="B16" s="5" t="s">
        <v>66</v>
      </c>
      <c r="C16" s="5" t="s">
        <v>19</v>
      </c>
      <c r="D16" s="5" t="s">
        <v>39</v>
      </c>
      <c r="E16" s="5" t="s">
        <v>67</v>
      </c>
      <c r="F16" s="5" t="s">
        <v>68</v>
      </c>
      <c r="G16" s="6"/>
      <c r="H16" s="6"/>
      <c r="I16" s="6"/>
      <c r="J16" s="6"/>
      <c r="K16" s="5" t="s">
        <v>23</v>
      </c>
      <c r="L16" s="7"/>
      <c r="M16" s="8" t="str">
        <f aca="false">IF($L16="","",$L16+7)</f>
        <v/>
      </c>
      <c r="N16" s="5"/>
      <c r="O16" s="6"/>
    </row>
    <row r="17" customFormat="false" ht="23.85" hidden="false" customHeight="false" outlineLevel="0" collapsed="false">
      <c r="A17" s="5" t="s">
        <v>62</v>
      </c>
      <c r="B17" s="5" t="s">
        <v>69</v>
      </c>
      <c r="C17" s="5" t="s">
        <v>25</v>
      </c>
      <c r="D17" s="5" t="s">
        <v>70</v>
      </c>
      <c r="E17" s="5" t="s">
        <v>71</v>
      </c>
      <c r="F17" s="5" t="s">
        <v>72</v>
      </c>
      <c r="G17" s="6"/>
      <c r="H17" s="6"/>
      <c r="I17" s="6"/>
      <c r="J17" s="6"/>
      <c r="K17" s="5" t="s">
        <v>23</v>
      </c>
      <c r="L17" s="7"/>
      <c r="M17" s="8" t="str">
        <f aca="false">IF($L17="","",$L17+7)</f>
        <v/>
      </c>
      <c r="N17" s="5"/>
      <c r="O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6"/>
      <c r="H18" s="6"/>
      <c r="I18" s="6"/>
      <c r="J18" s="6"/>
      <c r="K18" s="5"/>
      <c r="L18" s="7"/>
      <c r="M18" s="8" t="str">
        <f aca="false">IF($L18="","",$L18+7)</f>
        <v/>
      </c>
      <c r="N18" s="5"/>
      <c r="O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6"/>
      <c r="H19" s="6"/>
      <c r="I19" s="6"/>
      <c r="J19" s="6"/>
      <c r="K19" s="5"/>
      <c r="L19" s="7"/>
      <c r="M19" s="8" t="str">
        <f aca="false">IF($L19="","",$L19+7)</f>
        <v/>
      </c>
      <c r="N19" s="5"/>
      <c r="O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6"/>
      <c r="H20" s="6"/>
      <c r="I20" s="6"/>
      <c r="J20" s="6"/>
      <c r="K20" s="5"/>
      <c r="L20" s="7"/>
      <c r="M20" s="8" t="str">
        <f aca="false">IF($L20="","",$L20+7)</f>
        <v/>
      </c>
      <c r="N20" s="5"/>
      <c r="O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6"/>
      <c r="H21" s="6"/>
      <c r="I21" s="6"/>
      <c r="J21" s="6"/>
      <c r="K21" s="5"/>
      <c r="L21" s="7"/>
      <c r="M21" s="8" t="str">
        <f aca="false">IF($L21="","",$L21+7)</f>
        <v/>
      </c>
      <c r="N21" s="5"/>
      <c r="O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6"/>
      <c r="H22" s="6"/>
      <c r="I22" s="6"/>
      <c r="J22" s="6"/>
      <c r="K22" s="5"/>
      <c r="L22" s="7"/>
      <c r="M22" s="8" t="str">
        <f aca="false">IF($L22="","",$L22+7)</f>
        <v/>
      </c>
      <c r="N22" s="5"/>
      <c r="O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6"/>
      <c r="H23" s="6"/>
      <c r="I23" s="6"/>
      <c r="J23" s="6"/>
      <c r="K23" s="5"/>
      <c r="L23" s="7"/>
      <c r="M23" s="8" t="str">
        <f aca="false">IF($L23="","",$L23+7)</f>
        <v/>
      </c>
      <c r="N23" s="5"/>
      <c r="O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6"/>
      <c r="H24" s="6"/>
      <c r="I24" s="6"/>
      <c r="J24" s="6"/>
      <c r="K24" s="5"/>
      <c r="L24" s="7"/>
      <c r="M24" s="8" t="str">
        <f aca="false">IF($L24="","",$L24+7)</f>
        <v/>
      </c>
      <c r="N24" s="5"/>
      <c r="O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6"/>
      <c r="H25" s="6"/>
      <c r="I25" s="6"/>
      <c r="J25" s="6"/>
      <c r="K25" s="5"/>
      <c r="L25" s="7"/>
      <c r="M25" s="8" t="str">
        <f aca="false">IF($L25="","",$L25+7)</f>
        <v/>
      </c>
      <c r="N25" s="5"/>
      <c r="O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6"/>
      <c r="H26" s="6"/>
      <c r="I26" s="6"/>
      <c r="J26" s="6"/>
      <c r="K26" s="5"/>
      <c r="L26" s="7"/>
      <c r="M26" s="8" t="str">
        <f aca="false">IF($L26="","",$L26+7)</f>
        <v/>
      </c>
      <c r="N26" s="5"/>
      <c r="O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6"/>
      <c r="H27" s="6"/>
      <c r="I27" s="6"/>
      <c r="J27" s="6"/>
      <c r="K27" s="5"/>
      <c r="L27" s="7"/>
      <c r="M27" s="8" t="str">
        <f aca="false">IF($L27="","",$L27+7)</f>
        <v/>
      </c>
      <c r="N27" s="5"/>
      <c r="O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6"/>
      <c r="H28" s="6"/>
      <c r="I28" s="6"/>
      <c r="J28" s="6"/>
      <c r="K28" s="5"/>
      <c r="L28" s="7"/>
      <c r="M28" s="8" t="str">
        <f aca="false">IF($L28="","",$L28+7)</f>
        <v/>
      </c>
      <c r="N28" s="5"/>
      <c r="O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6"/>
      <c r="H29" s="6"/>
      <c r="I29" s="6"/>
      <c r="J29" s="6"/>
      <c r="K29" s="5"/>
      <c r="L29" s="7"/>
      <c r="M29" s="8" t="str">
        <f aca="false">IF($L29="","",$L29+7)</f>
        <v/>
      </c>
      <c r="N29" s="5"/>
      <c r="O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6"/>
      <c r="H30" s="6"/>
      <c r="I30" s="6"/>
      <c r="J30" s="6"/>
      <c r="K30" s="5"/>
      <c r="L30" s="7"/>
      <c r="M30" s="8" t="str">
        <f aca="false">IF($L30="","",$L30+7)</f>
        <v/>
      </c>
      <c r="N30" s="5"/>
      <c r="O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6"/>
      <c r="H31" s="6"/>
      <c r="I31" s="6"/>
      <c r="J31" s="6"/>
      <c r="K31" s="5"/>
      <c r="L31" s="7"/>
      <c r="M31" s="8" t="str">
        <f aca="false">IF($L31="","",$L31+7)</f>
        <v/>
      </c>
      <c r="N31" s="5"/>
      <c r="O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6"/>
      <c r="H32" s="6"/>
      <c r="I32" s="6"/>
      <c r="J32" s="6"/>
      <c r="K32" s="5"/>
      <c r="L32" s="7"/>
      <c r="M32" s="8" t="str">
        <f aca="false">IF($L32="","",$L32+7)</f>
        <v/>
      </c>
      <c r="N32" s="5"/>
      <c r="O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6"/>
      <c r="H33" s="6"/>
      <c r="I33" s="6"/>
      <c r="J33" s="6"/>
      <c r="K33" s="5"/>
      <c r="L33" s="7"/>
      <c r="M33" s="8" t="str">
        <f aca="false">IF($L33="","",$L33+7)</f>
        <v/>
      </c>
      <c r="N33" s="5"/>
      <c r="O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6"/>
      <c r="H34" s="6"/>
      <c r="I34" s="6"/>
      <c r="J34" s="6"/>
      <c r="K34" s="5"/>
      <c r="L34" s="7"/>
      <c r="M34" s="8" t="str">
        <f aca="false">IF($L34="","",$L34+7)</f>
        <v/>
      </c>
      <c r="N34" s="5"/>
      <c r="O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6"/>
      <c r="H35" s="6"/>
      <c r="I35" s="6"/>
      <c r="J35" s="6"/>
      <c r="K35" s="5"/>
      <c r="L35" s="7"/>
      <c r="M35" s="8" t="str">
        <f aca="false">IF($L35="","",$L35+7)</f>
        <v/>
      </c>
      <c r="N35" s="5"/>
      <c r="O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6"/>
      <c r="H36" s="6"/>
      <c r="I36" s="6"/>
      <c r="J36" s="6"/>
      <c r="K36" s="5"/>
      <c r="L36" s="7"/>
      <c r="M36" s="8" t="str">
        <f aca="false">IF($L36="","",$L36+7)</f>
        <v/>
      </c>
      <c r="N36" s="5"/>
      <c r="O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6"/>
      <c r="H37" s="6"/>
      <c r="I37" s="6"/>
      <c r="J37" s="6"/>
      <c r="K37" s="5"/>
      <c r="L37" s="7"/>
      <c r="M37" s="8" t="str">
        <f aca="false">IF($L37="","",$L37+7)</f>
        <v/>
      </c>
      <c r="N37" s="5"/>
      <c r="O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6"/>
      <c r="H38" s="6"/>
      <c r="I38" s="6"/>
      <c r="J38" s="6"/>
      <c r="K38" s="5"/>
      <c r="L38" s="7"/>
      <c r="M38" s="8" t="str">
        <f aca="false">IF($L38="","",$L38+7)</f>
        <v/>
      </c>
      <c r="N38" s="5"/>
      <c r="O38" s="6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6"/>
      <c r="H39" s="6"/>
      <c r="I39" s="6"/>
      <c r="J39" s="6"/>
      <c r="K39" s="5"/>
      <c r="L39" s="7"/>
      <c r="M39" s="8" t="str">
        <f aca="false">IF($L39="","",$L39+7)</f>
        <v/>
      </c>
      <c r="N39" s="5"/>
      <c r="O39" s="6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6"/>
      <c r="H40" s="6"/>
      <c r="I40" s="6"/>
      <c r="J40" s="6"/>
      <c r="K40" s="5"/>
      <c r="L40" s="7"/>
      <c r="M40" s="8" t="str">
        <f aca="false">IF($L40="","",$L40+7)</f>
        <v/>
      </c>
      <c r="N40" s="5"/>
      <c r="O40" s="6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6"/>
      <c r="H41" s="6"/>
      <c r="I41" s="6"/>
      <c r="J41" s="6"/>
      <c r="K41" s="5"/>
      <c r="L41" s="7"/>
      <c r="M41" s="8" t="str">
        <f aca="false">IF($L41="","",$L41+7)</f>
        <v/>
      </c>
      <c r="N41" s="5"/>
      <c r="O41" s="6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6"/>
      <c r="H42" s="6"/>
      <c r="I42" s="6"/>
      <c r="J42" s="6"/>
      <c r="K42" s="5"/>
      <c r="L42" s="7"/>
      <c r="M42" s="8" t="str">
        <f aca="false">IF($L42="","",$L42+7)</f>
        <v/>
      </c>
      <c r="N42" s="5"/>
      <c r="O42" s="6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6"/>
      <c r="H43" s="6"/>
      <c r="I43" s="6"/>
      <c r="J43" s="6"/>
      <c r="K43" s="5"/>
      <c r="L43" s="7"/>
      <c r="M43" s="8" t="str">
        <f aca="false">IF($L43="","",$L43+7)</f>
        <v/>
      </c>
      <c r="N43" s="5"/>
      <c r="O43" s="6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6"/>
      <c r="H44" s="6"/>
      <c r="I44" s="6"/>
      <c r="J44" s="6"/>
      <c r="K44" s="5"/>
      <c r="L44" s="7"/>
      <c r="M44" s="8" t="str">
        <f aca="false">IF($L44="","",$L44+7)</f>
        <v/>
      </c>
      <c r="N44" s="5"/>
      <c r="O44" s="6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6"/>
      <c r="H45" s="6"/>
      <c r="I45" s="6"/>
      <c r="J45" s="6"/>
      <c r="K45" s="5"/>
      <c r="L45" s="7"/>
      <c r="M45" s="8" t="str">
        <f aca="false">IF($L45="","",$L45+7)</f>
        <v/>
      </c>
      <c r="N45" s="5"/>
      <c r="O45" s="6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6"/>
      <c r="H46" s="6"/>
      <c r="I46" s="6"/>
      <c r="J46" s="6"/>
      <c r="K46" s="5"/>
      <c r="L46" s="7"/>
      <c r="M46" s="8" t="str">
        <f aca="false">IF($L46="","",$L46+7)</f>
        <v/>
      </c>
      <c r="N46" s="5"/>
      <c r="O46" s="6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6"/>
      <c r="H47" s="6"/>
      <c r="I47" s="6"/>
      <c r="J47" s="6"/>
      <c r="K47" s="5"/>
      <c r="L47" s="7"/>
      <c r="M47" s="8" t="str">
        <f aca="false">IF($L47="","",$L47+7)</f>
        <v/>
      </c>
      <c r="N47" s="5"/>
      <c r="O47" s="6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6"/>
      <c r="H48" s="6"/>
      <c r="I48" s="6"/>
      <c r="J48" s="6"/>
      <c r="K48" s="5"/>
      <c r="L48" s="7"/>
      <c r="M48" s="8" t="str">
        <f aca="false">IF($L48="","",$L48+7)</f>
        <v/>
      </c>
      <c r="N48" s="5"/>
      <c r="O48" s="6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6"/>
      <c r="H49" s="6"/>
      <c r="I49" s="6"/>
      <c r="J49" s="6"/>
      <c r="K49" s="5"/>
      <c r="L49" s="7"/>
      <c r="M49" s="8" t="str">
        <f aca="false">IF($L49="","",$L49+7)</f>
        <v/>
      </c>
      <c r="N49" s="5"/>
      <c r="O49" s="6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6"/>
      <c r="H50" s="6"/>
      <c r="I50" s="6"/>
      <c r="J50" s="6"/>
      <c r="K50" s="5"/>
      <c r="L50" s="7"/>
      <c r="M50" s="8" t="str">
        <f aca="false">IF($L50="","",$L50+7)</f>
        <v/>
      </c>
      <c r="N50" s="5"/>
      <c r="O50" s="6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6"/>
      <c r="H51" s="6"/>
      <c r="I51" s="6"/>
      <c r="J51" s="6"/>
      <c r="K51" s="5"/>
      <c r="L51" s="7"/>
      <c r="M51" s="8" t="str">
        <f aca="false">IF($L51="","",$L51+7)</f>
        <v/>
      </c>
      <c r="N51" s="5"/>
      <c r="O51" s="6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6"/>
      <c r="H52" s="6"/>
      <c r="I52" s="6"/>
      <c r="J52" s="6"/>
      <c r="K52" s="5"/>
      <c r="L52" s="7"/>
      <c r="M52" s="8" t="str">
        <f aca="false">IF($L52="","",$L52+7)</f>
        <v/>
      </c>
      <c r="N52" s="5"/>
      <c r="O52" s="6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6"/>
      <c r="H53" s="6"/>
      <c r="I53" s="6"/>
      <c r="J53" s="6"/>
      <c r="K53" s="5"/>
      <c r="L53" s="7"/>
      <c r="M53" s="8" t="str">
        <f aca="false">IF($L53="","",$L53+7)</f>
        <v/>
      </c>
      <c r="N53" s="5"/>
      <c r="O53" s="6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6"/>
      <c r="H54" s="6"/>
      <c r="I54" s="6"/>
      <c r="J54" s="6"/>
      <c r="K54" s="5"/>
      <c r="L54" s="7"/>
      <c r="M54" s="8" t="str">
        <f aca="false">IF($L54="","",$L54+7)</f>
        <v/>
      </c>
      <c r="N54" s="5"/>
      <c r="O54" s="6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6"/>
      <c r="H55" s="6"/>
      <c r="I55" s="6"/>
      <c r="J55" s="6"/>
      <c r="K55" s="5"/>
      <c r="L55" s="7"/>
      <c r="M55" s="8" t="str">
        <f aca="false">IF($L55="","",$L55+7)</f>
        <v/>
      </c>
      <c r="N55" s="5"/>
      <c r="O55" s="6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6"/>
      <c r="H56" s="6"/>
      <c r="I56" s="6"/>
      <c r="J56" s="6"/>
      <c r="K56" s="5"/>
      <c r="L56" s="7"/>
      <c r="M56" s="8" t="str">
        <f aca="false">IF($L56="","",$L56+7)</f>
        <v/>
      </c>
      <c r="N56" s="5"/>
      <c r="O56" s="6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6"/>
      <c r="H57" s="6"/>
      <c r="I57" s="6"/>
      <c r="J57" s="6"/>
      <c r="K57" s="5"/>
      <c r="L57" s="7"/>
      <c r="M57" s="8" t="str">
        <f aca="false">IF($L57="","",$L57+7)</f>
        <v/>
      </c>
      <c r="N57" s="5"/>
      <c r="O57" s="6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6"/>
      <c r="H58" s="6"/>
      <c r="I58" s="6"/>
      <c r="J58" s="6"/>
      <c r="K58" s="5"/>
      <c r="L58" s="7"/>
      <c r="M58" s="8" t="str">
        <f aca="false">IF($L58="","",$L58+7)</f>
        <v/>
      </c>
      <c r="N58" s="5"/>
      <c r="O58" s="6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6"/>
      <c r="H59" s="6"/>
      <c r="I59" s="6"/>
      <c r="J59" s="6"/>
      <c r="K59" s="5"/>
      <c r="L59" s="7"/>
      <c r="M59" s="8" t="str">
        <f aca="false">IF($L59="","",$L59+7)</f>
        <v/>
      </c>
      <c r="N59" s="5"/>
      <c r="O59" s="6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6"/>
      <c r="H60" s="6"/>
      <c r="I60" s="6"/>
      <c r="J60" s="6"/>
      <c r="K60" s="5"/>
      <c r="L60" s="7"/>
      <c r="M60" s="8" t="str">
        <f aca="false">IF($L60="","",$L60+7)</f>
        <v/>
      </c>
      <c r="N60" s="5"/>
      <c r="O60" s="6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6"/>
      <c r="H61" s="6"/>
      <c r="I61" s="6"/>
      <c r="J61" s="6"/>
      <c r="K61" s="5"/>
      <c r="L61" s="7"/>
      <c r="M61" s="8" t="str">
        <f aca="false">IF($L61="","",$L61+7)</f>
        <v/>
      </c>
      <c r="N61" s="5"/>
      <c r="O61" s="6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6"/>
      <c r="H62" s="6"/>
      <c r="I62" s="6"/>
      <c r="J62" s="6"/>
      <c r="K62" s="5"/>
      <c r="L62" s="7"/>
      <c r="M62" s="8" t="str">
        <f aca="false">IF($L62="","",$L62+7)</f>
        <v/>
      </c>
      <c r="N62" s="5"/>
      <c r="O62" s="6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6"/>
      <c r="H63" s="6"/>
      <c r="I63" s="6"/>
      <c r="J63" s="6"/>
      <c r="K63" s="5"/>
      <c r="L63" s="7"/>
      <c r="M63" s="8" t="str">
        <f aca="false">IF($L63="","",$L63+7)</f>
        <v/>
      </c>
      <c r="N63" s="5"/>
      <c r="O63" s="6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6"/>
      <c r="H64" s="6"/>
      <c r="I64" s="6"/>
      <c r="J64" s="6"/>
      <c r="K64" s="5"/>
      <c r="L64" s="7"/>
      <c r="M64" s="8" t="str">
        <f aca="false">IF($L64="","",$L64+7)</f>
        <v/>
      </c>
      <c r="N64" s="5"/>
      <c r="O64" s="6"/>
    </row>
  </sheetData>
  <conditionalFormatting sqref="M5:M64">
    <cfRule type="expression" priority="2" aboveAverage="0" equalAverage="0" bottom="0" percent="0" rank="0" text="" dxfId="0">
      <formula>AND($M5&lt;&gt;"",$M5&lt;=TODAY(),OR($K5="Emailed",$K5="Called"))</formula>
    </cfRule>
  </conditionalFormatting>
  <conditionalFormatting sqref="K5:K64">
    <cfRule type="expression" priority="3" aboveAverage="0" equalAverage="0" bottom="0" percent="0" rank="0" text="" dxfId="1">
      <formula>OR($K5="Meeting booked",$K5="Pilot agreed")</formula>
    </cfRule>
  </conditionalFormatting>
  <dataValidations count="3">
    <dataValidation allowBlank="true" errorStyle="stop" operator="between" showDropDown="false" showErrorMessage="false" showInputMessage="false" sqref="A5:A64" type="list">
      <formula1>"A,B,C"</formula1>
      <formula2>0</formula2>
    </dataValidation>
    <dataValidation allowBlank="true" errorStyle="stop" operator="between" showDropDown="false" showErrorMessage="false" showInputMessage="false" sqref="C5:C64" type="list">
      <formula1>"Extruder,Fabricator,Light engineering,Other"</formula1>
      <formula2>0</formula2>
    </dataValidation>
    <dataValidation allowBlank="true" errorStyle="stop" operator="between" showDropDown="false" showErrorMessage="false" showInputMessage="false" sqref="K5:K64" type="list">
      <formula1>"To research,Ready to contact,Emailed,Called,Replied,Meeting booked,Pilot agreed,Not now,Not interested"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&amp;CMannin Systems  |  Outreach prospects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43.5" hidden="false" customHeight="true" outlineLevel="0" collapsed="false">
      <c r="A4" s="4" t="s">
        <v>12</v>
      </c>
      <c r="B4" s="4" t="s">
        <v>75</v>
      </c>
    </row>
    <row r="5" customFormat="false" ht="15" hidden="false" customHeight="false" outlineLevel="0" collapsed="false">
      <c r="A5" s="9" t="s">
        <v>23</v>
      </c>
      <c r="B5" s="10" t="n">
        <f aca="false">COUNTIF(Prospects!$K$5:$K$64,A5)</f>
        <v>13</v>
      </c>
    </row>
    <row r="6" customFormat="false" ht="15" hidden="false" customHeight="false" outlineLevel="0" collapsed="false">
      <c r="A6" s="9" t="s">
        <v>76</v>
      </c>
      <c r="B6" s="10" t="n">
        <f aca="false">COUNTIF(Prospects!$K$5:$K$64,A6)</f>
        <v>0</v>
      </c>
    </row>
    <row r="7" customFormat="false" ht="15" hidden="false" customHeight="false" outlineLevel="0" collapsed="false">
      <c r="A7" s="9" t="s">
        <v>77</v>
      </c>
      <c r="B7" s="10" t="n">
        <f aca="false">COUNTIF(Prospects!$K$5:$K$64,A7)</f>
        <v>0</v>
      </c>
    </row>
    <row r="8" customFormat="false" ht="15" hidden="false" customHeight="false" outlineLevel="0" collapsed="false">
      <c r="A8" s="9" t="s">
        <v>78</v>
      </c>
      <c r="B8" s="10" t="n">
        <f aca="false">COUNTIF(Prospects!$K$5:$K$64,A8)</f>
        <v>0</v>
      </c>
    </row>
    <row r="9" customFormat="false" ht="15" hidden="false" customHeight="false" outlineLevel="0" collapsed="false">
      <c r="A9" s="9" t="s">
        <v>79</v>
      </c>
      <c r="B9" s="10" t="n">
        <f aca="false">COUNTIF(Prospects!$K$5:$K$64,A9)</f>
        <v>0</v>
      </c>
    </row>
    <row r="10" customFormat="false" ht="15" hidden="false" customHeight="false" outlineLevel="0" collapsed="false">
      <c r="A10" s="9" t="s">
        <v>80</v>
      </c>
      <c r="B10" s="10" t="n">
        <f aca="false">COUNTIF(Prospects!$K$5:$K$64,A10)</f>
        <v>0</v>
      </c>
    </row>
    <row r="11" customFormat="false" ht="15" hidden="false" customHeight="false" outlineLevel="0" collapsed="false">
      <c r="A11" s="9" t="s">
        <v>81</v>
      </c>
      <c r="B11" s="10" t="n">
        <f aca="false">COUNTIF(Prospects!$K$5:$K$64,A11)</f>
        <v>0</v>
      </c>
    </row>
    <row r="12" customFormat="false" ht="15" hidden="false" customHeight="false" outlineLevel="0" collapsed="false">
      <c r="A12" s="9" t="s">
        <v>82</v>
      </c>
      <c r="B12" s="10" t="n">
        <f aca="false">COUNTIF(Prospects!$K$5:$K$64,A12)</f>
        <v>0</v>
      </c>
    </row>
    <row r="13" customFormat="false" ht="15" hidden="false" customHeight="false" outlineLevel="0" collapsed="false">
      <c r="A13" s="9" t="s">
        <v>83</v>
      </c>
      <c r="B13" s="10" t="n">
        <f aca="false">COUNTIF(Prospects!$K$5:$K$64,A13)</f>
        <v>0</v>
      </c>
    </row>
    <row r="15" customFormat="false" ht="15" hidden="false" customHeight="false" outlineLevel="0" collapsed="false">
      <c r="A15" s="11" t="s">
        <v>84</v>
      </c>
      <c r="B15" s="12" t="n">
        <f aca="true">SUMPRODUCT((Prospects!$M$5:$M$64&lt;&gt;"")*(Prospects!$M$5:$M$64&lt;=TODAY())*((Prospects!$K$5:$K$64="Emailed")+(Prospects!$K$5:$K$64="Called")))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&amp;CMannin Systems  |  Outreach prospects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3A3C"/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19.7" hidden="false" customHeight="false" outlineLevel="0" collapsed="false">
      <c r="A1" s="1" t="s">
        <v>85</v>
      </c>
    </row>
    <row r="2" customFormat="false" ht="15" hidden="false" customHeight="false" outlineLevel="0" collapsed="false">
      <c r="A2" s="2" t="s">
        <v>86</v>
      </c>
    </row>
    <row r="4" customFormat="false" ht="23.85" hidden="false" customHeight="false" outlineLevel="0" collapsed="false">
      <c r="A4" s="13" t="s">
        <v>87</v>
      </c>
      <c r="B4" s="14" t="s">
        <v>88</v>
      </c>
    </row>
    <row r="5" customFormat="false" ht="15" hidden="false" customHeight="false" outlineLevel="0" collapsed="false">
      <c r="A5" s="13" t="s">
        <v>89</v>
      </c>
      <c r="B5" s="14" t="s">
        <v>90</v>
      </c>
    </row>
    <row r="6" customFormat="false" ht="15" hidden="false" customHeight="false" outlineLevel="0" collapsed="false">
      <c r="A6" s="13" t="s">
        <v>91</v>
      </c>
      <c r="B6" s="14" t="s">
        <v>92</v>
      </c>
    </row>
    <row r="7" customFormat="false" ht="15" hidden="false" customHeight="false" outlineLevel="0" collapsed="false">
      <c r="A7" s="13" t="s">
        <v>93</v>
      </c>
      <c r="B7" s="14" t="s">
        <v>94</v>
      </c>
    </row>
    <row r="8" customFormat="false" ht="15" hidden="false" customHeight="false" outlineLevel="0" collapsed="false">
      <c r="A8" s="13" t="s">
        <v>95</v>
      </c>
      <c r="B8" s="14" t="s">
        <v>96</v>
      </c>
    </row>
    <row r="9" customFormat="false" ht="15" hidden="false" customHeight="false" outlineLevel="0" collapsed="false">
      <c r="A9" s="13" t="s">
        <v>97</v>
      </c>
      <c r="B9" s="14" t="s">
        <v>98</v>
      </c>
    </row>
    <row r="10" customFormat="false" ht="15" hidden="false" customHeight="false" outlineLevel="0" collapsed="false">
      <c r="A10" s="13"/>
      <c r="B10" s="14"/>
    </row>
    <row r="11" customFormat="false" ht="23.85" hidden="false" customHeight="false" outlineLevel="0" collapsed="false">
      <c r="A11" s="15" t="s">
        <v>99</v>
      </c>
      <c r="B11" s="1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&amp;CMannin Systems  |  Outreach prospects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2026-09-26T09:55:36Z</dcterms:created>
  <dc:creator>Mannin Systems</dc:creator>
  <dc:description/>
  <dc:language>en-US</dc:language>
  <cp:lastModifiedBy/>
  <dcterms:modified xsi:type="dcterms:W3CDTF">2026-09-26T09:55:36Z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